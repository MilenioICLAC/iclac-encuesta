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Urdinez\Dropbox\PC (2)\Desktop\cuestionario ICLAC\"/>
    </mc:Choice>
  </mc:AlternateContent>
  <xr:revisionPtr revIDLastSave="0" documentId="13_ncr:1_{BC1C364A-7A03-4B46-83A2-BE1B894C5043}" xr6:coauthVersionLast="47" xr6:coauthVersionMax="47" xr10:uidLastSave="{00000000-0000-0000-0000-000000000000}"/>
  <bookViews>
    <workbookView xWindow="-98" yWindow="-98" windowWidth="19396" windowHeight="11475" xr2:uid="{E28EED94-BEB8-4535-93B0-375B6461C34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 s="1"/>
  <c r="F16" i="1"/>
  <c r="G16" i="1" s="1"/>
  <c r="F17" i="1"/>
  <c r="G17" i="1" s="1"/>
  <c r="F14" i="1"/>
  <c r="G14" i="1" s="1"/>
  <c r="F11" i="1"/>
  <c r="G11" i="1" s="1"/>
  <c r="F12" i="1"/>
  <c r="G12" i="1" s="1"/>
  <c r="F13" i="1"/>
  <c r="G13" i="1" s="1"/>
  <c r="F10" i="1"/>
  <c r="G10" i="1" s="1"/>
  <c r="F7" i="1"/>
  <c r="G7" i="1" s="1"/>
  <c r="F8" i="1"/>
  <c r="G8" i="1" s="1"/>
  <c r="F9" i="1"/>
  <c r="G9" i="1" s="1"/>
  <c r="F6" i="1"/>
  <c r="G6" i="1" s="1"/>
  <c r="F3" i="1"/>
  <c r="G3" i="1" s="1"/>
  <c r="F4" i="1"/>
  <c r="G4" i="1" s="1"/>
  <c r="F5" i="1"/>
  <c r="G5" i="1" s="1"/>
  <c r="F2" i="1"/>
  <c r="G2" i="1" s="1"/>
  <c r="B18" i="1"/>
  <c r="E18" i="1"/>
  <c r="H3" i="1" s="1"/>
  <c r="H14" i="1" l="1"/>
  <c r="H13" i="1"/>
  <c r="H12" i="1"/>
  <c r="H11" i="1"/>
  <c r="H10" i="1"/>
  <c r="H9" i="1"/>
  <c r="H8" i="1"/>
  <c r="H7" i="1"/>
  <c r="H2" i="1"/>
  <c r="H6" i="1"/>
  <c r="H17" i="1"/>
  <c r="H5" i="1"/>
  <c r="H16" i="1"/>
  <c r="H4" i="1"/>
  <c r="H15" i="1"/>
</calcChain>
</file>

<file path=xl/sharedStrings.xml><?xml version="1.0" encoding="utf-8"?>
<sst xmlns="http://schemas.openxmlformats.org/spreadsheetml/2006/main" count="44" uniqueCount="27">
  <si>
    <t>Region</t>
  </si>
  <si>
    <t>Arica y Parinacota</t>
  </si>
  <si>
    <t>Tarapacá</t>
  </si>
  <si>
    <t>Antofagasta</t>
  </si>
  <si>
    <t>Atacama</t>
  </si>
  <si>
    <t>Coquimbo</t>
  </si>
  <si>
    <t>Valapraíso</t>
  </si>
  <si>
    <t>Metropolitana</t>
  </si>
  <si>
    <t xml:space="preserve">O´Higgins </t>
  </si>
  <si>
    <t>El Maule</t>
  </si>
  <si>
    <t>Ñuble</t>
  </si>
  <si>
    <t>Biobío</t>
  </si>
  <si>
    <t>La Araucanía</t>
  </si>
  <si>
    <t>Los Ríos</t>
  </si>
  <si>
    <t>Los Lagos</t>
  </si>
  <si>
    <t>Aysén del General</t>
  </si>
  <si>
    <t>Magallanes</t>
  </si>
  <si>
    <t>infl. China</t>
  </si>
  <si>
    <t xml:space="preserve">% </t>
  </si>
  <si>
    <t>poblacion 2023</t>
  </si>
  <si>
    <t>Quartil</t>
  </si>
  <si>
    <t xml:space="preserve">% del cuartil </t>
  </si>
  <si>
    <t>stratified sample size</t>
  </si>
  <si>
    <t>random sample size</t>
  </si>
  <si>
    <t>casos</t>
  </si>
  <si>
    <t>TOTAL</t>
  </si>
  <si>
    <t>casos netquest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</si>
</sst>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 style="thin">
        <color auto="1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4" fontId="0" fillId="0" borderId="0" xfId="0" applyNumberFormat="1"/>
    <xf numFmtId="165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right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1" applyNumberFormat="1" applyFon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014F-9A8A-44E1-BC4E-BC4B9E9F2D52}">
  <dimension ref="A1:J18"/>
  <sheetViews>
    <sheetView tabSelected="1" workbookViewId="0">
      <selection activeCell="I2" sqref="I2:I17"/>
    </sheetView>
  </sheetViews>
  <sheetFormatPr baseColWidth="10" defaultRowHeight="14.25" x14ac:dyDescent="0.45"/>
  <cols>
    <col min="1" max="1" width="21" customWidth="1"/>
    <col min="2" max="2" width="12.46484375" style="1" bestFit="1" customWidth="1"/>
    <col min="3" max="3" width="11.19921875" style="3" bestFit="1" customWidth="1"/>
    <col min="4" max="4" width="11.53125" style="1"/>
    <col min="5" max="5" width="13.46484375" bestFit="1" customWidth="1"/>
    <col min="6" max="6" width="13.46484375" style="1" customWidth="1"/>
    <col min="7" max="7" width="18.1328125" style="1" bestFit="1" customWidth="1"/>
    <col min="8" max="8" width="17.1328125" style="1" bestFit="1" customWidth="1"/>
    <col min="9" max="9" width="12.33203125" bestFit="1" customWidth="1"/>
  </cols>
  <sheetData>
    <row r="1" spans="1:10" x14ac:dyDescent="0.45">
      <c r="A1" t="s">
        <v>0</v>
      </c>
      <c r="B1" s="1" t="s">
        <v>17</v>
      </c>
      <c r="C1" s="3" t="s">
        <v>18</v>
      </c>
      <c r="D1" s="1" t="s">
        <v>20</v>
      </c>
      <c r="E1" t="s">
        <v>19</v>
      </c>
      <c r="F1" s="1" t="s">
        <v>21</v>
      </c>
      <c r="G1" s="11" t="s">
        <v>22</v>
      </c>
      <c r="H1" s="1" t="s">
        <v>23</v>
      </c>
      <c r="I1" s="1" t="s">
        <v>26</v>
      </c>
    </row>
    <row r="2" spans="1:10" x14ac:dyDescent="0.45">
      <c r="A2" t="s">
        <v>3</v>
      </c>
      <c r="B2" s="5">
        <v>25.547089041095891</v>
      </c>
      <c r="C2" s="3">
        <v>0.54739369201602728</v>
      </c>
      <c r="D2" s="1">
        <v>1</v>
      </c>
      <c r="E2" s="6">
        <v>714142</v>
      </c>
      <c r="F2" s="7">
        <f>E2/SUM($E$2:$E$5)</f>
        <v>0.29119189195911566</v>
      </c>
      <c r="G2" s="12">
        <f>F2*165</f>
        <v>48.046662173254084</v>
      </c>
      <c r="H2" s="10">
        <f>660*(E2/$E$18)</f>
        <v>23.612862132543295</v>
      </c>
      <c r="I2" s="14">
        <v>48.046662173254084</v>
      </c>
    </row>
    <row r="3" spans="1:10" x14ac:dyDescent="0.45">
      <c r="A3" t="s">
        <v>2</v>
      </c>
      <c r="B3" s="5">
        <v>8.3444367657221843</v>
      </c>
      <c r="C3" s="3">
        <v>0.17879501032916917</v>
      </c>
      <c r="D3" s="1">
        <v>1</v>
      </c>
      <c r="E3" s="6">
        <v>401588</v>
      </c>
      <c r="F3" s="7">
        <f t="shared" ref="F3:F5" si="0">E3/SUM($E$2:$E$5)</f>
        <v>0.16374778336532136</v>
      </c>
      <c r="G3" s="12">
        <f t="shared" ref="G3:G17" si="1">F3*165</f>
        <v>27.018384255278026</v>
      </c>
      <c r="H3" s="10">
        <f t="shared" ref="H3:H17" si="2">660*(E3/$E$18)</f>
        <v>13.278370517465429</v>
      </c>
      <c r="I3" s="14">
        <v>37</v>
      </c>
    </row>
    <row r="4" spans="1:10" x14ac:dyDescent="0.45">
      <c r="A4" t="s">
        <v>8</v>
      </c>
      <c r="B4" s="5">
        <v>4.0626315789473688</v>
      </c>
      <c r="C4" s="3">
        <v>8.7049404952694615E-2</v>
      </c>
      <c r="D4" s="1">
        <v>1</v>
      </c>
      <c r="E4" s="6">
        <v>1017701</v>
      </c>
      <c r="F4" s="7">
        <f t="shared" si="0"/>
        <v>0.41496828311271983</v>
      </c>
      <c r="G4" s="12">
        <f t="shared" si="1"/>
        <v>68.469766713598773</v>
      </c>
      <c r="H4" s="10">
        <f t="shared" si="2"/>
        <v>33.649937134563494</v>
      </c>
      <c r="I4" s="14">
        <v>68.469766713598773</v>
      </c>
    </row>
    <row r="5" spans="1:10" x14ac:dyDescent="0.45">
      <c r="A5" t="s">
        <v>4</v>
      </c>
      <c r="B5" s="5">
        <v>3.3912894961571305</v>
      </c>
      <c r="C5" s="3">
        <v>7.2664657605819818E-2</v>
      </c>
      <c r="D5" s="1">
        <v>1</v>
      </c>
      <c r="E5" s="6">
        <v>319048</v>
      </c>
      <c r="F5" s="7">
        <f t="shared" si="0"/>
        <v>0.13009204156284315</v>
      </c>
      <c r="G5" s="12">
        <f t="shared" si="1"/>
        <v>21.465186857869121</v>
      </c>
      <c r="H5" s="10">
        <f t="shared" si="2"/>
        <v>10.549213514488256</v>
      </c>
      <c r="I5" s="14">
        <v>35</v>
      </c>
    </row>
    <row r="6" spans="1:10" x14ac:dyDescent="0.45">
      <c r="A6" t="s">
        <v>6</v>
      </c>
      <c r="B6" s="5">
        <v>1.7123742181125916</v>
      </c>
      <c r="C6" s="3">
        <v>3.6690788678814597E-2</v>
      </c>
      <c r="D6" s="1">
        <v>2</v>
      </c>
      <c r="E6" s="6">
        <v>2010849</v>
      </c>
      <c r="F6" s="7">
        <f>E6/SUM($E$6:$E$9)</f>
        <v>0.44077943371700756</v>
      </c>
      <c r="G6" s="12">
        <f t="shared" si="1"/>
        <v>72.728606563306244</v>
      </c>
      <c r="H6" s="10">
        <f t="shared" si="2"/>
        <v>66.488037682089214</v>
      </c>
      <c r="I6" s="14">
        <v>72.728606563306244</v>
      </c>
    </row>
    <row r="7" spans="1:10" x14ac:dyDescent="0.45">
      <c r="A7" t="s">
        <v>11</v>
      </c>
      <c r="B7" s="5">
        <v>1.1778202676864247</v>
      </c>
      <c r="C7" s="3">
        <v>2.5236980378588004E-2</v>
      </c>
      <c r="D7" s="1">
        <v>2</v>
      </c>
      <c r="E7" s="6">
        <v>519437</v>
      </c>
      <c r="F7" s="7">
        <f t="shared" ref="F7:F9" si="3">E7/SUM($E$6:$E$9)</f>
        <v>0.11386093471546659</v>
      </c>
      <c r="G7" s="12">
        <f t="shared" si="1"/>
        <v>18.787054228051986</v>
      </c>
      <c r="H7" s="10">
        <f t="shared" si="2"/>
        <v>17.175007586084966</v>
      </c>
      <c r="I7" s="14">
        <v>28</v>
      </c>
    </row>
    <row r="8" spans="1:10" x14ac:dyDescent="0.45">
      <c r="A8" t="s">
        <v>5</v>
      </c>
      <c r="B8" s="5">
        <v>1.1201140487299119</v>
      </c>
      <c r="C8" s="3">
        <v>2.4000517774332888E-2</v>
      </c>
      <c r="D8" s="1">
        <v>2</v>
      </c>
      <c r="E8" s="6">
        <v>869103</v>
      </c>
      <c r="F8" s="7">
        <f t="shared" si="3"/>
        <v>0.19050795369605197</v>
      </c>
      <c r="G8" s="12">
        <f t="shared" si="1"/>
        <v>31.433812359848577</v>
      </c>
      <c r="H8" s="10">
        <f t="shared" si="2"/>
        <v>28.736594848055116</v>
      </c>
      <c r="I8" s="14">
        <v>33</v>
      </c>
    </row>
    <row r="9" spans="1:10" x14ac:dyDescent="0.45">
      <c r="A9" t="s">
        <v>9</v>
      </c>
      <c r="B9" s="5">
        <v>0.57232049947970864</v>
      </c>
      <c r="C9" s="3">
        <v>1.2263026551584589E-2</v>
      </c>
      <c r="D9" s="1">
        <v>2</v>
      </c>
      <c r="E9" s="6">
        <v>1162641</v>
      </c>
      <c r="F9" s="7">
        <f t="shared" si="3"/>
        <v>0.25485167787147389</v>
      </c>
      <c r="G9" s="12">
        <f t="shared" si="1"/>
        <v>42.05052684879319</v>
      </c>
      <c r="H9" s="10">
        <f t="shared" si="2"/>
        <v>38.442328896273104</v>
      </c>
      <c r="I9" s="14">
        <v>42.05052684879319</v>
      </c>
    </row>
    <row r="10" spans="1:10" x14ac:dyDescent="0.45">
      <c r="A10" t="s">
        <v>7</v>
      </c>
      <c r="B10" s="5">
        <v>0.32026639689765635</v>
      </c>
      <c r="C10" s="3">
        <v>6.8623006380283133E-3</v>
      </c>
      <c r="D10" s="1">
        <v>3</v>
      </c>
      <c r="E10" s="6">
        <v>8367790</v>
      </c>
      <c r="F10" s="7">
        <f>E10/SUM($E$10:$E$13)</f>
        <v>0.83121005884773191</v>
      </c>
      <c r="G10" s="12">
        <f t="shared" si="1"/>
        <v>137.14965970987578</v>
      </c>
      <c r="H10" s="10">
        <f t="shared" si="2"/>
        <v>276.67812791304033</v>
      </c>
      <c r="I10" s="14">
        <v>107</v>
      </c>
      <c r="J10" s="13"/>
    </row>
    <row r="11" spans="1:10" x14ac:dyDescent="0.45">
      <c r="A11" t="s">
        <v>12</v>
      </c>
      <c r="B11" s="5">
        <v>0.15827338129496404</v>
      </c>
      <c r="C11" s="3">
        <v>3.3913002923950473E-3</v>
      </c>
      <c r="D11" s="1">
        <v>3</v>
      </c>
      <c r="E11" s="6">
        <v>1028201</v>
      </c>
      <c r="F11" s="7">
        <f t="shared" ref="F11:F13" si="4">E11/SUM($E$10:$E$13)</f>
        <v>0.10213581049683332</v>
      </c>
      <c r="G11" s="12">
        <f t="shared" si="1"/>
        <v>16.852408731977498</v>
      </c>
      <c r="H11" s="10">
        <f t="shared" si="2"/>
        <v>33.997116060311747</v>
      </c>
      <c r="I11" s="14">
        <v>16.852408731977498</v>
      </c>
      <c r="J11" s="13"/>
    </row>
    <row r="12" spans="1:10" x14ac:dyDescent="0.45">
      <c r="A12" t="s">
        <v>13</v>
      </c>
      <c r="B12" s="5">
        <v>7.1052631578947367E-2</v>
      </c>
      <c r="C12" s="3">
        <v>1.5224342102103602E-3</v>
      </c>
      <c r="D12" s="1">
        <v>3</v>
      </c>
      <c r="E12" s="6">
        <v>411205</v>
      </c>
      <c r="F12" s="7">
        <f t="shared" si="4"/>
        <v>4.0846834379027391E-2</v>
      </c>
      <c r="G12" s="12">
        <f t="shared" si="1"/>
        <v>6.7397276725395194</v>
      </c>
      <c r="H12" s="10">
        <f t="shared" si="2"/>
        <v>13.596353348791228</v>
      </c>
      <c r="I12" s="14">
        <v>16</v>
      </c>
      <c r="J12" s="13"/>
    </row>
    <row r="13" spans="1:10" x14ac:dyDescent="0.45">
      <c r="A13" t="s">
        <v>1</v>
      </c>
      <c r="B13" s="5">
        <v>7.0967741935483872E-2</v>
      </c>
      <c r="C13" s="3">
        <v>1.5206152923964889E-3</v>
      </c>
      <c r="D13" s="1">
        <v>3</v>
      </c>
      <c r="E13" s="6">
        <v>259802</v>
      </c>
      <c r="F13" s="7">
        <f t="shared" si="4"/>
        <v>2.5807296276407325E-2</v>
      </c>
      <c r="G13" s="12">
        <f t="shared" si="1"/>
        <v>4.2582038856072089</v>
      </c>
      <c r="H13" s="10">
        <f t="shared" si="2"/>
        <v>8.5902646921186729</v>
      </c>
      <c r="I13" s="14">
        <v>16</v>
      </c>
      <c r="J13" s="13"/>
    </row>
    <row r="14" spans="1:10" x14ac:dyDescent="0.45">
      <c r="A14" t="s">
        <v>14</v>
      </c>
      <c r="B14" s="5">
        <v>6.8181818181818191E-2</v>
      </c>
      <c r="C14" s="3">
        <v>1.4609217168685277E-3</v>
      </c>
      <c r="D14" s="1">
        <v>4</v>
      </c>
      <c r="E14" s="6">
        <v>907429</v>
      </c>
      <c r="F14" s="7">
        <f>E14/SUM($E$14:$E$17)</f>
        <v>0.31514713921251158</v>
      </c>
      <c r="G14" s="12">
        <f t="shared" si="1"/>
        <v>51.999277970064412</v>
      </c>
      <c r="H14" s="10">
        <f t="shared" si="2"/>
        <v>30.003830991695811</v>
      </c>
      <c r="I14" s="14">
        <v>56</v>
      </c>
      <c r="J14" s="13"/>
    </row>
    <row r="15" spans="1:10" x14ac:dyDescent="0.45">
      <c r="A15" t="s">
        <v>16</v>
      </c>
      <c r="B15" s="5">
        <v>4.5397225725094581E-2</v>
      </c>
      <c r="C15" s="3">
        <v>9.7271962989480779E-4</v>
      </c>
      <c r="D15" s="1">
        <v>4</v>
      </c>
      <c r="E15" s="6">
        <v>182217</v>
      </c>
      <c r="F15" s="7">
        <f t="shared" ref="F15:F17" si="5">E15/SUM($E$14:$E$17)</f>
        <v>6.3283371223408352E-2</v>
      </c>
      <c r="G15" s="12">
        <f t="shared" si="1"/>
        <v>10.441756251862378</v>
      </c>
      <c r="H15" s="10">
        <f t="shared" si="2"/>
        <v>6.0249430774350783</v>
      </c>
      <c r="I15" s="14">
        <v>8</v>
      </c>
      <c r="J15" s="13"/>
    </row>
    <row r="16" spans="1:10" x14ac:dyDescent="0.45">
      <c r="A16" t="s">
        <v>10</v>
      </c>
      <c r="B16" s="5">
        <v>8.1967213114754103E-3</v>
      </c>
      <c r="C16" s="3">
        <v>1.7562993317545142E-4</v>
      </c>
      <c r="D16" s="1">
        <v>4</v>
      </c>
      <c r="E16" s="6">
        <v>1681430</v>
      </c>
      <c r="F16" s="7">
        <f t="shared" si="5"/>
        <v>0.58395516815761161</v>
      </c>
      <c r="G16" s="12">
        <f t="shared" si="1"/>
        <v>96.352602746005914</v>
      </c>
      <c r="H16" s="10">
        <f t="shared" si="2"/>
        <v>55.595910582940476</v>
      </c>
      <c r="I16" s="14">
        <v>60</v>
      </c>
      <c r="J16" s="13"/>
    </row>
    <row r="17" spans="1:9" x14ac:dyDescent="0.45">
      <c r="A17" t="s">
        <v>15</v>
      </c>
      <c r="B17" s="5">
        <v>0</v>
      </c>
      <c r="C17" s="3">
        <v>0</v>
      </c>
      <c r="D17" s="1">
        <v>4</v>
      </c>
      <c r="E17" s="6">
        <v>108306</v>
      </c>
      <c r="F17" s="7">
        <f t="shared" si="5"/>
        <v>3.7614321406468469E-2</v>
      </c>
      <c r="G17" s="12">
        <f t="shared" si="1"/>
        <v>6.2063630320672978</v>
      </c>
      <c r="H17" s="10">
        <f t="shared" si="2"/>
        <v>3.5811010221037751</v>
      </c>
      <c r="I17" s="14">
        <v>16</v>
      </c>
    </row>
    <row r="18" spans="1:9" x14ac:dyDescent="0.45">
      <c r="B18" s="2">
        <f>1/(SUM(B2:B17))</f>
        <v>2.142685184740507E-2</v>
      </c>
      <c r="E18" s="4">
        <f>SUM(E2:E17)</f>
        <v>19960889</v>
      </c>
      <c r="F18" s="8"/>
      <c r="H18" s="9"/>
    </row>
  </sheetData>
  <sortState xmlns:xlrd2="http://schemas.microsoft.com/office/spreadsheetml/2017/richdata2" ref="A2:I18">
    <sortCondition descending="1" ref="C1:C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A76A-7CD5-46F0-BC1A-BF00891564FD}">
  <dimension ref="A1:B18"/>
  <sheetViews>
    <sheetView workbookViewId="0">
      <selection activeCell="B2" sqref="B2:B17"/>
    </sheetView>
  </sheetViews>
  <sheetFormatPr baseColWidth="10" defaultRowHeight="14.25" x14ac:dyDescent="0.45"/>
  <cols>
    <col min="1" max="1" width="14.9296875" bestFit="1" customWidth="1"/>
    <col min="2" max="2" width="10.6640625" style="1"/>
  </cols>
  <sheetData>
    <row r="1" spans="1:2" x14ac:dyDescent="0.45">
      <c r="A1" t="s">
        <v>0</v>
      </c>
      <c r="B1" s="1" t="s">
        <v>24</v>
      </c>
    </row>
    <row r="2" spans="1:2" x14ac:dyDescent="0.45">
      <c r="A2" t="s">
        <v>3</v>
      </c>
      <c r="B2" s="14">
        <v>48.046662173254084</v>
      </c>
    </row>
    <row r="3" spans="1:2" x14ac:dyDescent="0.45">
      <c r="A3" t="s">
        <v>2</v>
      </c>
      <c r="B3" s="14">
        <v>37</v>
      </c>
    </row>
    <row r="4" spans="1:2" x14ac:dyDescent="0.45">
      <c r="A4" t="s">
        <v>8</v>
      </c>
      <c r="B4" s="14">
        <v>68.469766713598773</v>
      </c>
    </row>
    <row r="5" spans="1:2" x14ac:dyDescent="0.45">
      <c r="A5" t="s">
        <v>4</v>
      </c>
      <c r="B5" s="14">
        <v>32</v>
      </c>
    </row>
    <row r="6" spans="1:2" x14ac:dyDescent="0.45">
      <c r="A6" t="s">
        <v>6</v>
      </c>
      <c r="B6" s="14">
        <v>72.728606563306244</v>
      </c>
    </row>
    <row r="7" spans="1:2" x14ac:dyDescent="0.45">
      <c r="A7" t="s">
        <v>11</v>
      </c>
      <c r="B7" s="14">
        <v>18.787054228051986</v>
      </c>
    </row>
    <row r="8" spans="1:2" x14ac:dyDescent="0.45">
      <c r="A8" t="s">
        <v>5</v>
      </c>
      <c r="B8" s="14">
        <v>31.433812359848577</v>
      </c>
    </row>
    <row r="9" spans="1:2" x14ac:dyDescent="0.45">
      <c r="A9" t="s">
        <v>9</v>
      </c>
      <c r="B9" s="14">
        <v>42.05052684879319</v>
      </c>
    </row>
    <row r="10" spans="1:2" x14ac:dyDescent="0.45">
      <c r="A10" t="s">
        <v>7</v>
      </c>
      <c r="B10" s="14">
        <v>107</v>
      </c>
    </row>
    <row r="11" spans="1:2" x14ac:dyDescent="0.45">
      <c r="A11" t="s">
        <v>12</v>
      </c>
      <c r="B11" s="14">
        <v>16.852408731977498</v>
      </c>
    </row>
    <row r="12" spans="1:2" x14ac:dyDescent="0.45">
      <c r="A12" t="s">
        <v>13</v>
      </c>
      <c r="B12" s="14">
        <v>16</v>
      </c>
    </row>
    <row r="13" spans="1:2" x14ac:dyDescent="0.45">
      <c r="A13" t="s">
        <v>1</v>
      </c>
      <c r="B13" s="14">
        <v>16</v>
      </c>
    </row>
    <row r="14" spans="1:2" x14ac:dyDescent="0.45">
      <c r="A14" t="s">
        <v>14</v>
      </c>
      <c r="B14" s="14">
        <v>56</v>
      </c>
    </row>
    <row r="15" spans="1:2" x14ac:dyDescent="0.45">
      <c r="A15" t="s">
        <v>16</v>
      </c>
      <c r="B15" s="14">
        <v>22</v>
      </c>
    </row>
    <row r="16" spans="1:2" x14ac:dyDescent="0.45">
      <c r="A16" t="s">
        <v>10</v>
      </c>
      <c r="B16" s="14">
        <v>60</v>
      </c>
    </row>
    <row r="17" spans="1:2" x14ac:dyDescent="0.45">
      <c r="A17" t="s">
        <v>15</v>
      </c>
      <c r="B17" s="14">
        <v>16</v>
      </c>
    </row>
    <row r="18" spans="1:2" x14ac:dyDescent="0.45">
      <c r="A18" t="s">
        <v>25</v>
      </c>
      <c r="B18" s="1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Urdinez</dc:creator>
  <cp:lastModifiedBy>Francisco Urdinez</cp:lastModifiedBy>
  <dcterms:created xsi:type="dcterms:W3CDTF">2023-09-01T17:38:08Z</dcterms:created>
  <dcterms:modified xsi:type="dcterms:W3CDTF">2023-09-08T15:37:33Z</dcterms:modified>
</cp:coreProperties>
</file>