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Urdinez\Dropbox\PC (2)\Desktop\encuesta ICLAC\"/>
    </mc:Choice>
  </mc:AlternateContent>
  <xr:revisionPtr revIDLastSave="0" documentId="13_ncr:1_{7AA1E059-604C-4C73-BB7B-A887D3A0BD8E}" xr6:coauthVersionLast="47" xr6:coauthVersionMax="47" xr10:uidLastSave="{00000000-0000-0000-0000-000000000000}"/>
  <bookViews>
    <workbookView xWindow="-98" yWindow="-98" windowWidth="19396" windowHeight="11475" xr2:uid="{4EDBA783-3CB4-4F5F-9D2B-E9C30D920EA8}"/>
  </bookViews>
  <sheets>
    <sheet name="productos y regiones" sheetId="1" r:id="rId1"/>
    <sheet name="localidades por pr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6" i="1"/>
  <c r="B16" i="2"/>
  <c r="E42" i="1"/>
  <c r="E43" i="1"/>
  <c r="E44" i="1"/>
  <c r="E45" i="1"/>
  <c r="E46" i="1"/>
  <c r="E47" i="1"/>
  <c r="E48" i="1"/>
  <c r="E49" i="1"/>
  <c r="E50" i="1"/>
  <c r="E41" i="1"/>
  <c r="B37" i="1"/>
  <c r="C36" i="1" s="1"/>
  <c r="E36" i="1"/>
  <c r="E35" i="1"/>
  <c r="E26" i="1"/>
  <c r="E27" i="1"/>
  <c r="E28" i="1"/>
  <c r="E29" i="1"/>
  <c r="E30" i="1"/>
  <c r="E31" i="1"/>
  <c r="E32" i="1"/>
  <c r="E33" i="1"/>
  <c r="E34" i="1"/>
  <c r="E2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6" i="1"/>
  <c r="B51" i="1"/>
  <c r="C42" i="1" s="1"/>
  <c r="C26" i="1" l="1"/>
  <c r="C35" i="1"/>
  <c r="C31" i="1"/>
  <c r="C33" i="1"/>
  <c r="C25" i="1"/>
  <c r="C34" i="1"/>
  <c r="C32" i="1"/>
  <c r="C30" i="1"/>
  <c r="C29" i="1"/>
  <c r="C28" i="1"/>
  <c r="C27" i="1"/>
  <c r="C41" i="1"/>
  <c r="C50" i="1"/>
  <c r="C49" i="1"/>
  <c r="C48" i="1"/>
  <c r="C47" i="1"/>
  <c r="C46" i="1"/>
  <c r="C45" i="1"/>
  <c r="C44" i="1"/>
  <c r="C43" i="1"/>
  <c r="C10" i="2" l="1"/>
  <c r="C11" i="2"/>
  <c r="C12" i="2"/>
  <c r="C13" i="2"/>
  <c r="C14" i="2"/>
  <c r="C15" i="2"/>
  <c r="C4" i="2"/>
  <c r="C5" i="2"/>
  <c r="C6" i="2"/>
  <c r="C8" i="2"/>
  <c r="C7" i="2"/>
  <c r="C9" i="2"/>
  <c r="C3" i="2"/>
</calcChain>
</file>

<file path=xl/sharedStrings.xml><?xml version="1.0" encoding="utf-8"?>
<sst xmlns="http://schemas.openxmlformats.org/spreadsheetml/2006/main" count="79" uniqueCount="73">
  <si>
    <t>Arica y Parinacota</t>
  </si>
  <si>
    <t>X como %</t>
  </si>
  <si>
    <t>Region</t>
  </si>
  <si>
    <t>Tarapacá</t>
  </si>
  <si>
    <t>Antofagasta</t>
  </si>
  <si>
    <t>Atacama</t>
  </si>
  <si>
    <t>Coquimbo</t>
  </si>
  <si>
    <t>Metropolitana</t>
  </si>
  <si>
    <t>Valapraíso</t>
  </si>
  <si>
    <t xml:space="preserve">O´Higgins </t>
  </si>
  <si>
    <t>El Maule</t>
  </si>
  <si>
    <t>Ñuble</t>
  </si>
  <si>
    <t>Biobío</t>
  </si>
  <si>
    <t>La Araucanía</t>
  </si>
  <si>
    <t>Los Ríos</t>
  </si>
  <si>
    <t>Los Lagos</t>
  </si>
  <si>
    <t>Aysén del General</t>
  </si>
  <si>
    <t>Magallanes</t>
  </si>
  <si>
    <t>origen</t>
  </si>
  <si>
    <t>Salida</t>
  </si>
  <si>
    <t>US$</t>
  </si>
  <si>
    <t>%</t>
  </si>
  <si>
    <t>Puerto/comuna</t>
  </si>
  <si>
    <t>Producto</t>
  </si>
  <si>
    <t>Puerto Angamos</t>
  </si>
  <si>
    <t>Caleta Coloso</t>
  </si>
  <si>
    <t>Valparaíso</t>
  </si>
  <si>
    <t>San Antonio</t>
  </si>
  <si>
    <t>Patache</t>
  </si>
  <si>
    <t>Ventanas</t>
  </si>
  <si>
    <t>Caldera</t>
  </si>
  <si>
    <t>Lirquén</t>
  </si>
  <si>
    <t>% a China como total</t>
  </si>
  <si>
    <t>Cobre</t>
  </si>
  <si>
    <t>Litio</t>
  </si>
  <si>
    <t>Cerezas</t>
  </si>
  <si>
    <t>Celulosa</t>
  </si>
  <si>
    <t>Hierro</t>
  </si>
  <si>
    <t>Yodo</t>
  </si>
  <si>
    <t>Ciruelas</t>
  </si>
  <si>
    <t>Molibdeno</t>
  </si>
  <si>
    <t>https://app.powerbi.com/view?r=eyJrIjoiNzAxMWE4ZWEtMmQ5Ny00ZWQ2LTlhMTYtNWJjZTlmMzU1ZmRhIiwidCI6IjJiMjRkYmQ1LTMzYmEtNDgyZi04ZGMzLTAyMWJiMTU0ZjdiMSIsImMiOjR9</t>
  </si>
  <si>
    <t>Mineral de Cobre</t>
  </si>
  <si>
    <t>X al mundo MUS$</t>
  </si>
  <si>
    <t>como % del resto del mundo</t>
  </si>
  <si>
    <t>al resto del Mundo</t>
  </si>
  <si>
    <t>Aerop. Merino</t>
  </si>
  <si>
    <t>Terminal Muelle  Mecanizado</t>
  </si>
  <si>
    <t>San Vicente</t>
  </si>
  <si>
    <t>al mundo</t>
  </si>
  <si>
    <t>Salmones y truchas</t>
  </si>
  <si>
    <t>productos</t>
  </si>
  <si>
    <t>Unidad: FOB MUS$</t>
  </si>
  <si>
    <t>Fuente: Aduanas de Chile</t>
  </si>
  <si>
    <t>Localidades</t>
  </si>
  <si>
    <t>Escondida</t>
  </si>
  <si>
    <t>Codelco</t>
  </si>
  <si>
    <t>Chucicamata</t>
  </si>
  <si>
    <t>Collahuasi</t>
  </si>
  <si>
    <t>El Teniente</t>
  </si>
  <si>
    <t>Los Pelambres</t>
  </si>
  <si>
    <t>Ango American Sur</t>
  </si>
  <si>
    <t>Andina</t>
  </si>
  <si>
    <t>Spence</t>
  </si>
  <si>
    <t>Esperanza</t>
  </si>
  <si>
    <t>Candelaria</t>
  </si>
  <si>
    <t>Minera gaby</t>
  </si>
  <si>
    <t>Zaldivar</t>
  </si>
  <si>
    <t>fecha:2023 (enero a agosto)</t>
  </si>
  <si>
    <t>produccion $</t>
  </si>
  <si>
    <t>INDICE</t>
  </si>
  <si>
    <t>INDICE normalizado</t>
  </si>
  <si>
    <t>X Chinas en M de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</si>
</sst>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A05F-1191-4465-A34A-E1BCFC6870D5}">
  <dimension ref="A1:G66"/>
  <sheetViews>
    <sheetView tabSelected="1" workbookViewId="0">
      <selection activeCell="B7" sqref="B7"/>
    </sheetView>
  </sheetViews>
  <sheetFormatPr baseColWidth="10" defaultRowHeight="14.25" x14ac:dyDescent="0.45"/>
  <cols>
    <col min="1" max="1" width="15" bestFit="1" customWidth="1"/>
    <col min="2" max="2" width="12.46484375" style="1" customWidth="1"/>
    <col min="3" max="3" width="10.6640625" style="1"/>
    <col min="4" max="4" width="22.6640625" style="1" customWidth="1"/>
    <col min="5" max="5" width="23.19921875" style="1" customWidth="1"/>
    <col min="6" max="6" width="17.46484375" style="1" customWidth="1"/>
    <col min="7" max="7" width="16.73046875" style="1" bestFit="1" customWidth="1"/>
  </cols>
  <sheetData>
    <row r="1" spans="1:7" x14ac:dyDescent="0.45">
      <c r="A1" t="s">
        <v>53</v>
      </c>
      <c r="C1" t="s">
        <v>41</v>
      </c>
    </row>
    <row r="2" spans="1:7" x14ac:dyDescent="0.45">
      <c r="A2" t="s">
        <v>52</v>
      </c>
    </row>
    <row r="3" spans="1:7" x14ac:dyDescent="0.45">
      <c r="A3" t="s">
        <v>68</v>
      </c>
    </row>
    <row r="4" spans="1:7" x14ac:dyDescent="0.45">
      <c r="A4" s="5" t="s">
        <v>18</v>
      </c>
      <c r="B4" s="5"/>
      <c r="C4" s="5"/>
      <c r="D4" s="5"/>
      <c r="E4" s="5"/>
    </row>
    <row r="5" spans="1:7" x14ac:dyDescent="0.45">
      <c r="A5" t="s">
        <v>2</v>
      </c>
      <c r="B5" s="1" t="s">
        <v>72</v>
      </c>
      <c r="C5" s="1" t="s">
        <v>1</v>
      </c>
      <c r="D5" s="1" t="s">
        <v>43</v>
      </c>
      <c r="E5" s="6" t="s">
        <v>32</v>
      </c>
      <c r="F5" s="1" t="s">
        <v>70</v>
      </c>
      <c r="G5" s="1" t="s">
        <v>71</v>
      </c>
    </row>
    <row r="6" spans="1:7" x14ac:dyDescent="0.45">
      <c r="A6" t="s">
        <v>0</v>
      </c>
      <c r="B6" s="1">
        <v>55</v>
      </c>
      <c r="C6" s="4">
        <v>0.2</v>
      </c>
      <c r="D6" s="1">
        <v>155</v>
      </c>
      <c r="E6" s="6">
        <f>B6/D6</f>
        <v>0.35483870967741937</v>
      </c>
      <c r="F6" s="1">
        <f>E6*C6</f>
        <v>7.0967741935483872E-2</v>
      </c>
    </row>
    <row r="7" spans="1:7" x14ac:dyDescent="0.45">
      <c r="A7" t="s">
        <v>3</v>
      </c>
      <c r="B7" s="1">
        <v>2322</v>
      </c>
      <c r="C7" s="4">
        <v>10.4</v>
      </c>
      <c r="D7" s="1">
        <v>2894</v>
      </c>
      <c r="E7" s="6">
        <f>B7/D7</f>
        <v>0.80234968901174841</v>
      </c>
      <c r="F7" s="1">
        <f t="shared" ref="F7:F21" si="0">E7*C7</f>
        <v>8.3444367657221843</v>
      </c>
    </row>
    <row r="8" spans="1:7" x14ac:dyDescent="0.45">
      <c r="A8" t="s">
        <v>4</v>
      </c>
      <c r="B8" s="1">
        <v>11823</v>
      </c>
      <c r="C8" s="4">
        <v>53</v>
      </c>
      <c r="D8" s="1">
        <v>24528</v>
      </c>
      <c r="E8" s="6">
        <f t="shared" ref="E8:E21" si="1">B8/D8</f>
        <v>0.48202054794520549</v>
      </c>
      <c r="F8" s="1">
        <f t="shared" si="0"/>
        <v>25.547089041095891</v>
      </c>
    </row>
    <row r="9" spans="1:7" x14ac:dyDescent="0.45">
      <c r="A9" t="s">
        <v>5</v>
      </c>
      <c r="B9" s="1">
        <v>1632</v>
      </c>
      <c r="C9" s="4">
        <v>7.3</v>
      </c>
      <c r="D9" s="1">
        <v>3513</v>
      </c>
      <c r="E9" s="6">
        <f t="shared" si="1"/>
        <v>0.46456020495303157</v>
      </c>
      <c r="F9" s="1">
        <f t="shared" si="0"/>
        <v>3.3912894961571305</v>
      </c>
    </row>
    <row r="10" spans="1:7" x14ac:dyDescent="0.45">
      <c r="A10" t="s">
        <v>6</v>
      </c>
      <c r="B10" s="1">
        <v>697</v>
      </c>
      <c r="C10" s="4">
        <v>3.1</v>
      </c>
      <c r="D10" s="1">
        <v>1929</v>
      </c>
      <c r="E10" s="6">
        <f t="shared" si="1"/>
        <v>0.36132711249351995</v>
      </c>
      <c r="F10" s="1">
        <f t="shared" si="0"/>
        <v>1.1201140487299119</v>
      </c>
    </row>
    <row r="11" spans="1:7" x14ac:dyDescent="0.45">
      <c r="A11" t="s">
        <v>8</v>
      </c>
      <c r="B11" s="1">
        <v>1188</v>
      </c>
      <c r="C11" s="4">
        <v>5.3</v>
      </c>
      <c r="D11" s="1">
        <v>3677</v>
      </c>
      <c r="E11" s="6">
        <f t="shared" si="1"/>
        <v>0.32308947511558334</v>
      </c>
      <c r="F11" s="1">
        <f t="shared" si="0"/>
        <v>1.7123742181125916</v>
      </c>
    </row>
    <row r="12" spans="1:7" x14ac:dyDescent="0.45">
      <c r="A12" t="s">
        <v>7</v>
      </c>
      <c r="B12" s="1">
        <v>655</v>
      </c>
      <c r="C12" s="4">
        <v>2.9</v>
      </c>
      <c r="D12" s="1">
        <v>5931</v>
      </c>
      <c r="E12" s="6">
        <f t="shared" si="1"/>
        <v>0.11043668858539875</v>
      </c>
      <c r="F12" s="1">
        <f t="shared" si="0"/>
        <v>0.32026639689765635</v>
      </c>
    </row>
    <row r="13" spans="1:7" x14ac:dyDescent="0.45">
      <c r="A13" t="s">
        <v>9</v>
      </c>
      <c r="B13" s="1">
        <v>1860</v>
      </c>
      <c r="C13" s="4">
        <v>8.3000000000000007</v>
      </c>
      <c r="D13" s="1">
        <v>3800</v>
      </c>
      <c r="E13" s="6">
        <f t="shared" si="1"/>
        <v>0.48947368421052634</v>
      </c>
      <c r="F13" s="1">
        <f t="shared" si="0"/>
        <v>4.0626315789473688</v>
      </c>
    </row>
    <row r="14" spans="1:7" x14ac:dyDescent="0.45">
      <c r="A14" t="s">
        <v>10</v>
      </c>
      <c r="B14" s="1">
        <v>500</v>
      </c>
      <c r="C14" s="4">
        <v>2.2000000000000002</v>
      </c>
      <c r="D14" s="1">
        <v>1922</v>
      </c>
      <c r="E14" s="6">
        <f t="shared" si="1"/>
        <v>0.26014568158168572</v>
      </c>
      <c r="F14" s="1">
        <f t="shared" si="0"/>
        <v>0.57232049947970864</v>
      </c>
    </row>
    <row r="15" spans="1:7" x14ac:dyDescent="0.45">
      <c r="A15" t="s">
        <v>11</v>
      </c>
      <c r="B15" s="1">
        <v>25</v>
      </c>
      <c r="C15" s="4">
        <v>0.1</v>
      </c>
      <c r="D15" s="1">
        <v>305</v>
      </c>
      <c r="E15" s="6">
        <f t="shared" si="1"/>
        <v>8.1967213114754092E-2</v>
      </c>
      <c r="F15" s="1">
        <f t="shared" si="0"/>
        <v>8.1967213114754103E-3</v>
      </c>
    </row>
    <row r="16" spans="1:7" x14ac:dyDescent="0.45">
      <c r="A16" t="s">
        <v>12</v>
      </c>
      <c r="B16" s="1">
        <v>980</v>
      </c>
      <c r="C16" s="4">
        <v>4.4000000000000004</v>
      </c>
      <c r="D16" s="1">
        <v>3661</v>
      </c>
      <c r="E16" s="6">
        <f t="shared" si="1"/>
        <v>0.26768642447418739</v>
      </c>
      <c r="F16" s="1">
        <f t="shared" si="0"/>
        <v>1.1778202676864247</v>
      </c>
    </row>
    <row r="17" spans="1:6" x14ac:dyDescent="0.45">
      <c r="A17" t="s">
        <v>13</v>
      </c>
      <c r="B17" s="1">
        <v>110</v>
      </c>
      <c r="C17" s="4">
        <v>0.8</v>
      </c>
      <c r="D17" s="1">
        <v>556</v>
      </c>
      <c r="E17" s="6">
        <f t="shared" si="1"/>
        <v>0.19784172661870503</v>
      </c>
      <c r="F17" s="1">
        <f t="shared" si="0"/>
        <v>0.15827338129496404</v>
      </c>
    </row>
    <row r="18" spans="1:6" x14ac:dyDescent="0.45">
      <c r="A18" t="s">
        <v>14</v>
      </c>
      <c r="B18" s="1">
        <v>54</v>
      </c>
      <c r="C18" s="4">
        <v>0.2</v>
      </c>
      <c r="D18" s="1">
        <v>152</v>
      </c>
      <c r="E18" s="6">
        <f t="shared" si="1"/>
        <v>0.35526315789473684</v>
      </c>
      <c r="F18" s="1">
        <f t="shared" si="0"/>
        <v>7.1052631578947367E-2</v>
      </c>
    </row>
    <row r="19" spans="1:6" x14ac:dyDescent="0.45">
      <c r="A19" t="s">
        <v>15</v>
      </c>
      <c r="B19" s="1">
        <v>210</v>
      </c>
      <c r="C19" s="4">
        <v>1.3</v>
      </c>
      <c r="D19" s="1">
        <v>4004</v>
      </c>
      <c r="E19" s="6">
        <f t="shared" si="1"/>
        <v>5.2447552447552448E-2</v>
      </c>
      <c r="F19" s="1">
        <f t="shared" si="0"/>
        <v>6.8181818181818191E-2</v>
      </c>
    </row>
    <row r="20" spans="1:6" x14ac:dyDescent="0.45">
      <c r="A20" t="s">
        <v>16</v>
      </c>
      <c r="B20" s="1">
        <v>0</v>
      </c>
      <c r="C20" s="4">
        <v>0</v>
      </c>
      <c r="D20" s="1">
        <v>125</v>
      </c>
      <c r="E20" s="6">
        <f t="shared" si="1"/>
        <v>0</v>
      </c>
      <c r="F20" s="1">
        <f t="shared" si="0"/>
        <v>0</v>
      </c>
    </row>
    <row r="21" spans="1:6" x14ac:dyDescent="0.45">
      <c r="A21" t="s">
        <v>17</v>
      </c>
      <c r="B21" s="1">
        <v>90</v>
      </c>
      <c r="C21" s="4">
        <v>0.4</v>
      </c>
      <c r="D21" s="1">
        <v>793</v>
      </c>
      <c r="E21" s="6">
        <f t="shared" si="1"/>
        <v>0.11349306431273644</v>
      </c>
      <c r="F21" s="1">
        <f t="shared" si="0"/>
        <v>4.5397225725094581E-2</v>
      </c>
    </row>
    <row r="23" spans="1:6" x14ac:dyDescent="0.45">
      <c r="A23" s="5" t="s">
        <v>19</v>
      </c>
      <c r="B23" s="5"/>
      <c r="C23" s="5"/>
      <c r="D23" s="5"/>
      <c r="E23" s="5"/>
    </row>
    <row r="24" spans="1:6" x14ac:dyDescent="0.45">
      <c r="A24" t="s">
        <v>22</v>
      </c>
      <c r="B24" s="1" t="s">
        <v>20</v>
      </c>
      <c r="C24" s="1" t="s">
        <v>21</v>
      </c>
      <c r="D24" s="1" t="s">
        <v>45</v>
      </c>
      <c r="E24" s="1" t="s">
        <v>44</v>
      </c>
    </row>
    <row r="25" spans="1:6" x14ac:dyDescent="0.45">
      <c r="A25" t="s">
        <v>24</v>
      </c>
      <c r="B25" s="1">
        <v>6189</v>
      </c>
      <c r="C25" s="1">
        <f>B25/$B$37</f>
        <v>0.29643644027205673</v>
      </c>
      <c r="D25" s="1">
        <v>12469</v>
      </c>
      <c r="E25" s="1">
        <f>B25/D25</f>
        <v>0.49635095035688509</v>
      </c>
    </row>
    <row r="26" spans="1:6" x14ac:dyDescent="0.45">
      <c r="A26" t="s">
        <v>25</v>
      </c>
      <c r="B26" s="1">
        <v>3101</v>
      </c>
      <c r="C26" s="1">
        <f t="shared" ref="C26:C36" si="2">B26/$B$37</f>
        <v>0.14852955263914169</v>
      </c>
      <c r="D26" s="1">
        <v>4380</v>
      </c>
      <c r="E26" s="1">
        <f t="shared" ref="E26:E36" si="3">B26/D26</f>
        <v>0.7079908675799087</v>
      </c>
    </row>
    <row r="27" spans="1:6" x14ac:dyDescent="0.45">
      <c r="A27" t="s">
        <v>26</v>
      </c>
      <c r="B27" s="1">
        <v>2219</v>
      </c>
      <c r="C27" s="1">
        <f t="shared" si="2"/>
        <v>0.10628412683207204</v>
      </c>
      <c r="D27" s="1">
        <v>6403</v>
      </c>
      <c r="E27" s="1">
        <f t="shared" si="3"/>
        <v>0.34655630173356239</v>
      </c>
    </row>
    <row r="28" spans="1:6" x14ac:dyDescent="0.45">
      <c r="A28" t="s">
        <v>27</v>
      </c>
      <c r="B28" s="1">
        <v>2094</v>
      </c>
      <c r="C28" s="1">
        <f t="shared" si="2"/>
        <v>0.10029696331066194</v>
      </c>
      <c r="D28" s="1">
        <v>8345</v>
      </c>
      <c r="E28" s="1">
        <f t="shared" si="3"/>
        <v>0.25092869982025162</v>
      </c>
    </row>
    <row r="29" spans="1:6" x14ac:dyDescent="0.45">
      <c r="A29" t="s">
        <v>28</v>
      </c>
      <c r="B29" s="1">
        <v>1958</v>
      </c>
      <c r="C29" s="1">
        <f t="shared" si="2"/>
        <v>9.3782929399367762E-2</v>
      </c>
      <c r="D29" s="1">
        <v>2042</v>
      </c>
      <c r="E29" s="1">
        <f t="shared" si="3"/>
        <v>0.95886385896180215</v>
      </c>
    </row>
    <row r="30" spans="1:6" x14ac:dyDescent="0.45">
      <c r="A30" t="s">
        <v>4</v>
      </c>
      <c r="B30" s="1">
        <v>1060</v>
      </c>
      <c r="C30" s="1">
        <f t="shared" si="2"/>
        <v>5.0771146661557617E-2</v>
      </c>
      <c r="D30" s="1">
        <v>3640</v>
      </c>
      <c r="E30" s="1">
        <f t="shared" si="3"/>
        <v>0.29120879120879123</v>
      </c>
    </row>
    <row r="31" spans="1:6" x14ac:dyDescent="0.45">
      <c r="A31" t="s">
        <v>29</v>
      </c>
      <c r="B31" s="1">
        <v>916</v>
      </c>
      <c r="C31" s="1">
        <f t="shared" si="2"/>
        <v>4.3873934284893189E-2</v>
      </c>
      <c r="D31" s="1">
        <v>1080</v>
      </c>
      <c r="E31" s="1">
        <f t="shared" si="3"/>
        <v>0.8481481481481481</v>
      </c>
    </row>
    <row r="32" spans="1:6" x14ac:dyDescent="0.45">
      <c r="A32" t="s">
        <v>30</v>
      </c>
      <c r="B32" s="1">
        <v>913</v>
      </c>
      <c r="C32" s="1">
        <f t="shared" si="2"/>
        <v>4.3730242360379347E-2</v>
      </c>
      <c r="D32" s="1">
        <v>1556</v>
      </c>
      <c r="E32" s="1">
        <f t="shared" si="3"/>
        <v>0.58676092544987146</v>
      </c>
    </row>
    <row r="33" spans="1:5" x14ac:dyDescent="0.45">
      <c r="A33" t="s">
        <v>31</v>
      </c>
      <c r="B33" s="1">
        <v>679</v>
      </c>
      <c r="C33" s="1">
        <f t="shared" si="2"/>
        <v>3.2522272248299643E-2</v>
      </c>
      <c r="D33" s="1">
        <v>1432</v>
      </c>
      <c r="E33" s="1">
        <f t="shared" si="3"/>
        <v>0.47416201117318435</v>
      </c>
    </row>
    <row r="34" spans="1:5" x14ac:dyDescent="0.45">
      <c r="A34" t="s">
        <v>47</v>
      </c>
      <c r="B34" s="1">
        <v>630</v>
      </c>
      <c r="C34" s="1">
        <f t="shared" si="2"/>
        <v>3.0175304147906888E-2</v>
      </c>
      <c r="D34" s="1">
        <v>967</v>
      </c>
      <c r="E34" s="1">
        <f t="shared" si="3"/>
        <v>0.65149948293691828</v>
      </c>
    </row>
    <row r="35" spans="1:5" x14ac:dyDescent="0.45">
      <c r="A35" t="s">
        <v>46</v>
      </c>
      <c r="B35" s="1">
        <v>185</v>
      </c>
      <c r="C35" s="1">
        <f t="shared" si="2"/>
        <v>8.8610020116869428E-3</v>
      </c>
      <c r="D35" s="1">
        <v>3689</v>
      </c>
      <c r="E35" s="1">
        <f t="shared" si="3"/>
        <v>5.0149091894822445E-2</v>
      </c>
    </row>
    <row r="36" spans="1:5" x14ac:dyDescent="0.45">
      <c r="A36" t="s">
        <v>48</v>
      </c>
      <c r="B36" s="1">
        <v>934</v>
      </c>
      <c r="C36" s="1">
        <f t="shared" si="2"/>
        <v>4.473608583197624E-2</v>
      </c>
      <c r="D36" s="1">
        <v>1804</v>
      </c>
      <c r="E36" s="1">
        <f t="shared" si="3"/>
        <v>0.5177383592017738</v>
      </c>
    </row>
    <row r="37" spans="1:5" x14ac:dyDescent="0.45">
      <c r="B37" s="1">
        <f>SUM(B25:B36)</f>
        <v>20878</v>
      </c>
    </row>
    <row r="39" spans="1:5" x14ac:dyDescent="0.45">
      <c r="A39" s="5" t="s">
        <v>51</v>
      </c>
      <c r="B39" s="5"/>
      <c r="C39" s="5"/>
      <c r="D39" s="5"/>
      <c r="E39" s="5"/>
    </row>
    <row r="40" spans="1:5" x14ac:dyDescent="0.45">
      <c r="A40" t="s">
        <v>23</v>
      </c>
      <c r="B40" s="1" t="s">
        <v>20</v>
      </c>
      <c r="C40" s="1" t="s">
        <v>21</v>
      </c>
      <c r="D40" s="1" t="s">
        <v>49</v>
      </c>
      <c r="E40" s="1" t="s">
        <v>32</v>
      </c>
    </row>
    <row r="41" spans="1:5" x14ac:dyDescent="0.45">
      <c r="A41" t="s">
        <v>42</v>
      </c>
      <c r="B41" s="1">
        <v>9407</v>
      </c>
      <c r="C41" s="1">
        <f>B41/$B$51</f>
        <v>0.45943833943833945</v>
      </c>
      <c r="D41" s="1">
        <v>13318</v>
      </c>
      <c r="E41" s="1">
        <f>B41/D41</f>
        <v>0.7063372878810632</v>
      </c>
    </row>
    <row r="42" spans="1:5" x14ac:dyDescent="0.45">
      <c r="A42" t="s">
        <v>33</v>
      </c>
      <c r="B42" s="1">
        <v>4041</v>
      </c>
      <c r="C42" s="1">
        <f t="shared" ref="C42:C50" si="4">B42/$B$51</f>
        <v>0.19736263736263737</v>
      </c>
      <c r="D42" s="1">
        <v>12421</v>
      </c>
      <c r="E42" s="1">
        <f t="shared" ref="E42:E50" si="5">B42/D42</f>
        <v>0.32533612430561148</v>
      </c>
    </row>
    <row r="43" spans="1:5" x14ac:dyDescent="0.45">
      <c r="A43" t="s">
        <v>34</v>
      </c>
      <c r="B43" s="1">
        <v>2902</v>
      </c>
      <c r="C43" s="1">
        <f t="shared" si="4"/>
        <v>0.14173382173382174</v>
      </c>
      <c r="D43" s="1">
        <v>4839</v>
      </c>
      <c r="E43" s="1">
        <f t="shared" si="5"/>
        <v>0.59971068402562511</v>
      </c>
    </row>
    <row r="44" spans="1:5" x14ac:dyDescent="0.45">
      <c r="A44" t="s">
        <v>35</v>
      </c>
      <c r="B44" s="1">
        <v>1629</v>
      </c>
      <c r="C44" s="1">
        <f t="shared" si="4"/>
        <v>7.9560439560439566E-2</v>
      </c>
      <c r="D44" s="1">
        <v>1804</v>
      </c>
      <c r="E44" s="1">
        <f t="shared" si="5"/>
        <v>0.9029933481152993</v>
      </c>
    </row>
    <row r="45" spans="1:5" x14ac:dyDescent="0.45">
      <c r="A45" t="s">
        <v>36</v>
      </c>
      <c r="B45" s="1">
        <v>961</v>
      </c>
      <c r="C45" s="1">
        <f t="shared" si="4"/>
        <v>4.6935286935286938E-2</v>
      </c>
      <c r="D45" s="1">
        <v>1458</v>
      </c>
      <c r="E45" s="1">
        <f t="shared" si="5"/>
        <v>0.65912208504801095</v>
      </c>
    </row>
    <row r="46" spans="1:5" x14ac:dyDescent="0.45">
      <c r="A46" t="s">
        <v>37</v>
      </c>
      <c r="B46" s="1">
        <v>762</v>
      </c>
      <c r="C46" s="1">
        <f t="shared" si="4"/>
        <v>3.7216117216117214E-2</v>
      </c>
      <c r="D46" s="1">
        <v>986</v>
      </c>
      <c r="E46" s="1">
        <f t="shared" si="5"/>
        <v>0.77281947261663286</v>
      </c>
    </row>
    <row r="47" spans="1:5" x14ac:dyDescent="0.45">
      <c r="A47" t="s">
        <v>38</v>
      </c>
      <c r="B47" s="1">
        <v>224</v>
      </c>
      <c r="C47" s="1">
        <f t="shared" si="4"/>
        <v>1.094017094017094E-2</v>
      </c>
      <c r="D47" s="1">
        <v>773</v>
      </c>
      <c r="E47" s="1">
        <f t="shared" si="5"/>
        <v>0.28978007761966362</v>
      </c>
    </row>
    <row r="48" spans="1:5" x14ac:dyDescent="0.45">
      <c r="A48" t="s">
        <v>39</v>
      </c>
      <c r="B48" s="1">
        <v>205</v>
      </c>
      <c r="C48" s="1">
        <f t="shared" si="4"/>
        <v>1.0012210012210013E-2</v>
      </c>
      <c r="D48" s="1">
        <v>386</v>
      </c>
      <c r="E48" s="1">
        <f t="shared" si="5"/>
        <v>0.5310880829015544</v>
      </c>
    </row>
    <row r="49" spans="1:5" x14ac:dyDescent="0.45">
      <c r="A49" t="s">
        <v>50</v>
      </c>
      <c r="B49" s="1">
        <v>187</v>
      </c>
      <c r="C49" s="1">
        <f t="shared" si="4"/>
        <v>9.1330891330891339E-3</v>
      </c>
      <c r="D49" s="1">
        <v>3788</v>
      </c>
      <c r="E49" s="1">
        <f t="shared" si="5"/>
        <v>4.9366420274551216E-2</v>
      </c>
    </row>
    <row r="50" spans="1:5" x14ac:dyDescent="0.45">
      <c r="A50" t="s">
        <v>40</v>
      </c>
      <c r="B50" s="1">
        <v>157</v>
      </c>
      <c r="C50" s="1">
        <f t="shared" si="4"/>
        <v>7.6678876678876679E-3</v>
      </c>
      <c r="D50" s="1">
        <v>1627</v>
      </c>
      <c r="E50" s="1">
        <f t="shared" si="5"/>
        <v>9.6496619545175175E-2</v>
      </c>
    </row>
    <row r="51" spans="1:5" x14ac:dyDescent="0.45">
      <c r="B51" s="1">
        <f>SUM(B41:B50)</f>
        <v>20475</v>
      </c>
    </row>
    <row r="66" ht="13.25" customHeight="1" x14ac:dyDescent="0.45"/>
  </sheetData>
  <mergeCells count="3">
    <mergeCell ref="A39:E39"/>
    <mergeCell ref="A23:E23"/>
    <mergeCell ref="A4:E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0C2C-7810-409F-9470-0971570D32BD}">
  <dimension ref="A1:C16"/>
  <sheetViews>
    <sheetView workbookViewId="0">
      <selection activeCell="B3" sqref="B3"/>
    </sheetView>
  </sheetViews>
  <sheetFormatPr baseColWidth="10" defaultRowHeight="14.25" x14ac:dyDescent="0.45"/>
  <cols>
    <col min="3" max="3" width="12.19921875" bestFit="1" customWidth="1"/>
  </cols>
  <sheetData>
    <row r="1" spans="1:3" x14ac:dyDescent="0.45">
      <c r="A1" s="3" t="s">
        <v>33</v>
      </c>
      <c r="B1" s="1"/>
    </row>
    <row r="2" spans="1:3" x14ac:dyDescent="0.45">
      <c r="A2" t="s">
        <v>54</v>
      </c>
      <c r="B2" s="1" t="s">
        <v>69</v>
      </c>
      <c r="C2" t="s">
        <v>21</v>
      </c>
    </row>
    <row r="3" spans="1:3" x14ac:dyDescent="0.45">
      <c r="A3" t="s">
        <v>55</v>
      </c>
      <c r="B3" s="1">
        <v>925</v>
      </c>
      <c r="C3" s="2">
        <f>B3/$B$16</f>
        <v>0.14729299363057324</v>
      </c>
    </row>
    <row r="4" spans="1:3" x14ac:dyDescent="0.45">
      <c r="A4" t="s">
        <v>56</v>
      </c>
      <c r="B4" s="1">
        <v>1842</v>
      </c>
      <c r="C4" s="2">
        <f t="shared" ref="C4:C15" si="0">B4/$B$16</f>
        <v>0.29331210191082802</v>
      </c>
    </row>
    <row r="5" spans="1:3" x14ac:dyDescent="0.45">
      <c r="A5" t="s">
        <v>57</v>
      </c>
      <c r="B5" s="1">
        <v>864</v>
      </c>
      <c r="C5" s="2">
        <f t="shared" si="0"/>
        <v>0.1375796178343949</v>
      </c>
    </row>
    <row r="6" spans="1:3" x14ac:dyDescent="0.45">
      <c r="A6" t="s">
        <v>58</v>
      </c>
      <c r="B6" s="1">
        <v>524</v>
      </c>
      <c r="C6" s="2">
        <f t="shared" si="0"/>
        <v>8.3439490445859868E-2</v>
      </c>
    </row>
    <row r="7" spans="1:3" x14ac:dyDescent="0.45">
      <c r="A7" t="s">
        <v>59</v>
      </c>
      <c r="B7" s="1">
        <v>464</v>
      </c>
      <c r="C7" s="2">
        <f t="shared" si="0"/>
        <v>7.3885350318471335E-2</v>
      </c>
    </row>
    <row r="8" spans="1:3" x14ac:dyDescent="0.45">
      <c r="A8" t="s">
        <v>60</v>
      </c>
      <c r="B8" s="1">
        <v>356</v>
      </c>
      <c r="C8" s="2">
        <f t="shared" si="0"/>
        <v>5.6687898089171976E-2</v>
      </c>
    </row>
    <row r="9" spans="1:3" x14ac:dyDescent="0.45">
      <c r="A9" t="s">
        <v>61</v>
      </c>
      <c r="B9" s="1">
        <v>348</v>
      </c>
      <c r="C9" s="2">
        <f t="shared" si="0"/>
        <v>5.5414012738853505E-2</v>
      </c>
    </row>
    <row r="10" spans="1:3" x14ac:dyDescent="0.45">
      <c r="A10" t="s">
        <v>62</v>
      </c>
      <c r="B10" s="1">
        <v>220</v>
      </c>
      <c r="C10" s="2">
        <f t="shared" si="0"/>
        <v>3.5031847133757961E-2</v>
      </c>
    </row>
    <row r="11" spans="1:3" x14ac:dyDescent="0.45">
      <c r="A11" t="s">
        <v>63</v>
      </c>
      <c r="B11" s="1">
        <v>198</v>
      </c>
      <c r="C11" s="2">
        <f t="shared" si="0"/>
        <v>3.1528662420382166E-2</v>
      </c>
    </row>
    <row r="12" spans="1:3" x14ac:dyDescent="0.45">
      <c r="A12" t="s">
        <v>64</v>
      </c>
      <c r="B12" s="1">
        <v>164</v>
      </c>
      <c r="C12" s="2">
        <f t="shared" si="0"/>
        <v>2.6114649681528664E-2</v>
      </c>
    </row>
    <row r="13" spans="1:3" x14ac:dyDescent="0.45">
      <c r="A13" t="s">
        <v>65</v>
      </c>
      <c r="B13" s="1">
        <v>150</v>
      </c>
      <c r="C13" s="2">
        <f t="shared" si="0"/>
        <v>2.3885350318471339E-2</v>
      </c>
    </row>
    <row r="14" spans="1:3" x14ac:dyDescent="0.45">
      <c r="A14" t="s">
        <v>66</v>
      </c>
      <c r="B14" s="1">
        <v>122</v>
      </c>
      <c r="C14" s="2">
        <f t="shared" si="0"/>
        <v>1.9426751592356687E-2</v>
      </c>
    </row>
    <row r="15" spans="1:3" x14ac:dyDescent="0.45">
      <c r="A15" t="s">
        <v>67</v>
      </c>
      <c r="B15" s="1">
        <v>103</v>
      </c>
      <c r="C15" s="2">
        <f t="shared" si="0"/>
        <v>1.6401273885350318E-2</v>
      </c>
    </row>
    <row r="16" spans="1:3" x14ac:dyDescent="0.45">
      <c r="B16" s="1">
        <f>SUM(B3:B15)</f>
        <v>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 y regiones</vt:lpstr>
      <vt:lpstr>localidades por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Urdinez</dc:creator>
  <cp:lastModifiedBy>Francisco Urdinez</cp:lastModifiedBy>
  <dcterms:created xsi:type="dcterms:W3CDTF">2023-08-29T16:25:45Z</dcterms:created>
  <dcterms:modified xsi:type="dcterms:W3CDTF">2024-01-05T18:27:35Z</dcterms:modified>
</cp:coreProperties>
</file>